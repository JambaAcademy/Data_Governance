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lity Trend Data" sheetId="1" state="visible" r:id="rId3"/>
    <sheet name="Quarterly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<sst xmlns="http://schemas.openxmlformats.org/spreadsheetml/2006/main" count="31" uniqueCount="31">
  <si>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Data Quality Trend Analysis</t>
  </si>
  <si>
    <t xml:space="preserve">Instructions: Update monthly with average pass rates per domain from the quality scorecard views.</t>
  </si>
  <si>
    <t xml:space="preserve">Month</t>
  </si>
  <si>
    <t xml:space="preserve">Customer Domain</t>
  </si>
  <si>
    <t xml:space="preserve">Financial Domain</t>
  </si>
  <si>
    <t xml:space="preserve">Operations Domain</t>
  </si>
  <si>
    <t xml:space="preserve">HR Domain</t>
  </si>
  <si>
    <t xml:space="preserve">Product Domain</t>
  </si>
  <si>
    <t xml:space="preserve">Overall Average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</si>
  <si>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</si>
  <si>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</si>
  <si>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</si>
  <si>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</si>
  <si>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</si>
  <si>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</si>
  <si>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</si>
  <si>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</si>
  <si>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</si>
  <si>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</si>
  <si>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</si>
  <si>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</si>
  <si>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Quarterly Quality Summary</t>
  </si>
  <si>
    <t xml:space="preserve">Quarter</t>
  </si>
  <si>
    <t xml:space="preserve">Avg Pass Rate</t>
  </si>
  <si>
    <t xml:space="preserve">Critical Data Elements Monitored</t>
  </si>
  <si>
    <t xml:space="preserve">Issues Resolved</t>
  </si>
  <si>
    <t xml:space="preserve">Issues Opened</t>
  </si>
  <si>
    <t xml:space="preserve">Q3 2025</t>
  </si>
  <si>
    <t xml:space="preserve">Q4 2025</t>
  </si>
  <si>
    <t xml:space="preserve">Q1 2026</t>
  </si>
  <si>
    <t xml:space="preserve">Q2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</si>
</sst>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878787"/>
      <rgbColor rgb="FF1F3864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Quality Pass Rate by Domain (% over time)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'Quality Trend Data'!B4</c:f>
              <c:strCache>
                <c:ptCount val="1"/>
                <c:pt idx="0">
                  <c:v>Customer Domain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'Quality Trend Data'!$A$5:$A$16</c:f>
              <c:strCache>
                <c:ptCount val="12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  <c:pt idx="4">
                  <c:v>2025-11</c:v>
                </c:pt>
                <c:pt idx="5">
                  <c:v>2025-12</c:v>
                </c:pt>
                <c:pt idx="6">
                  <c:v>2026-01</c:v>
                </c:pt>
                <c:pt idx="7">
                  <c:v>2026-02</c:v>
                </c:pt>
                <c:pt idx="8">
                  <c:v>2026-03</c:v>
                </c:pt>
                <c:pt idx="9">
                  <c:v>2026-04</c:v>
                </c:pt>
                <c:pt idx="10">
                  <c:v>2026-05</c:v>
                </c:pt>
                <c:pt idx="11">
                  <c:v>2026-06</c:v>
                </c:pt>
              </c:strCache>
            </c:strRef>
          </c:cat>
          <c:val>
            <c:numRef>
              <c:f>'Quality Trend Data'!$B$5:$B$16</c:f>
              <c:numCache>
                <c:formatCode>0.0</c:formatCode>
                <c:ptCount val="12"/>
                <c:pt idx="0">
                  <c:v>71.5</c:v>
                </c:pt>
                <c:pt idx="1">
                  <c:v>73.4</c:v>
                </c:pt>
                <c:pt idx="2">
                  <c:v>74.3</c:v>
                </c:pt>
                <c:pt idx="3">
                  <c:v>76.6</c:v>
                </c:pt>
                <c:pt idx="4">
                  <c:v>80.6</c:v>
                </c:pt>
                <c:pt idx="5">
                  <c:v>79.9</c:v>
                </c:pt>
                <c:pt idx="6">
                  <c:v>83.2</c:v>
                </c:pt>
                <c:pt idx="7">
                  <c:v>83.7</c:v>
                </c:pt>
                <c:pt idx="8">
                  <c:v>86.3</c:v>
                </c:pt>
                <c:pt idx="9">
                  <c:v>88.4</c:v>
                </c:pt>
                <c:pt idx="10">
                  <c:v>91.4</c:v>
                </c:pt>
                <c:pt idx="11">
                  <c:v>91.8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'Quality Trend Data'!C4</c:f>
              <c:strCache>
                <c:ptCount val="1"/>
                <c:pt idx="0">
                  <c:v>Financial Domain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'Quality Trend Data'!$A$5:$A$16</c:f>
              <c:strCache>
                <c:ptCount val="12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  <c:pt idx="4">
                  <c:v>2025-11</c:v>
                </c:pt>
                <c:pt idx="5">
                  <c:v>2025-12</c:v>
                </c:pt>
                <c:pt idx="6">
                  <c:v>2026-01</c:v>
                </c:pt>
                <c:pt idx="7">
                  <c:v>2026-02</c:v>
                </c:pt>
                <c:pt idx="8">
                  <c:v>2026-03</c:v>
                </c:pt>
                <c:pt idx="9">
                  <c:v>2026-04</c:v>
                </c:pt>
                <c:pt idx="10">
                  <c:v>2026-05</c:v>
                </c:pt>
                <c:pt idx="11">
                  <c:v>2026-06</c:v>
                </c:pt>
              </c:strCache>
            </c:strRef>
          </c:cat>
          <c:val>
            <c:numRef>
              <c:f>'Quality Trend Data'!$C$5:$C$16</c:f>
              <c:numCache>
                <c:formatCode>0.0</c:formatCode>
                <c:ptCount val="12"/>
                <c:pt idx="0">
                  <c:v>77</c:v>
                </c:pt>
                <c:pt idx="1">
                  <c:v>78.2</c:v>
                </c:pt>
                <c:pt idx="2">
                  <c:v>79.8</c:v>
                </c:pt>
                <c:pt idx="3">
                  <c:v>82.9</c:v>
                </c:pt>
                <c:pt idx="4">
                  <c:v>82.6</c:v>
                </c:pt>
                <c:pt idx="5">
                  <c:v>84.9</c:v>
                </c:pt>
                <c:pt idx="6">
                  <c:v>86.6</c:v>
                </c:pt>
                <c:pt idx="7">
                  <c:v>89</c:v>
                </c:pt>
                <c:pt idx="8">
                  <c:v>89.4</c:v>
                </c:pt>
                <c:pt idx="9">
                  <c:v>91.6</c:v>
                </c:pt>
                <c:pt idx="10">
                  <c:v>91.9</c:v>
                </c:pt>
                <c:pt idx="11">
                  <c:v>93.1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'Quality Trend Data'!D4</c:f>
              <c:strCache>
                <c:ptCount val="1"/>
                <c:pt idx="0">
                  <c:v>Operations Domain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'Quality Trend Data'!$A$5:$A$16</c:f>
              <c:strCache>
                <c:ptCount val="12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  <c:pt idx="4">
                  <c:v>2025-11</c:v>
                </c:pt>
                <c:pt idx="5">
                  <c:v>2025-12</c:v>
                </c:pt>
                <c:pt idx="6">
                  <c:v>2026-01</c:v>
                </c:pt>
                <c:pt idx="7">
                  <c:v>2026-02</c:v>
                </c:pt>
                <c:pt idx="8">
                  <c:v>2026-03</c:v>
                </c:pt>
                <c:pt idx="9">
                  <c:v>2026-04</c:v>
                </c:pt>
                <c:pt idx="10">
                  <c:v>2026-05</c:v>
                </c:pt>
                <c:pt idx="11">
                  <c:v>2026-06</c:v>
                </c:pt>
              </c:strCache>
            </c:strRef>
          </c:cat>
          <c:val>
            <c:numRef>
              <c:f>'Quality Trend Data'!$D$5:$D$16</c:f>
              <c:numCache>
                <c:formatCode>0.0</c:formatCode>
                <c:ptCount val="12"/>
                <c:pt idx="0">
                  <c:v>68.5</c:v>
                </c:pt>
                <c:pt idx="1">
                  <c:v>70.1</c:v>
                </c:pt>
                <c:pt idx="2">
                  <c:v>72</c:v>
                </c:pt>
                <c:pt idx="3">
                  <c:v>75.6</c:v>
                </c:pt>
                <c:pt idx="4">
                  <c:v>77.5</c:v>
                </c:pt>
                <c:pt idx="5">
                  <c:v>79.4</c:v>
                </c:pt>
                <c:pt idx="6">
                  <c:v>80.7</c:v>
                </c:pt>
                <c:pt idx="7">
                  <c:v>82.5</c:v>
                </c:pt>
                <c:pt idx="8">
                  <c:v>85.7</c:v>
                </c:pt>
                <c:pt idx="9">
                  <c:v>88</c:v>
                </c:pt>
                <c:pt idx="10">
                  <c:v>88.8</c:v>
                </c:pt>
                <c:pt idx="11">
                  <c:v>91.6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'Quality Trend Data'!E4</c:f>
              <c:strCache>
                <c:ptCount val="1"/>
                <c:pt idx="0">
                  <c:v>HR Domain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'Quality Trend Data'!$A$5:$A$16</c:f>
              <c:strCache>
                <c:ptCount val="12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  <c:pt idx="4">
                  <c:v>2025-11</c:v>
                </c:pt>
                <c:pt idx="5">
                  <c:v>2025-12</c:v>
                </c:pt>
                <c:pt idx="6">
                  <c:v>2026-01</c:v>
                </c:pt>
                <c:pt idx="7">
                  <c:v>2026-02</c:v>
                </c:pt>
                <c:pt idx="8">
                  <c:v>2026-03</c:v>
                </c:pt>
                <c:pt idx="9">
                  <c:v>2026-04</c:v>
                </c:pt>
                <c:pt idx="10">
                  <c:v>2026-05</c:v>
                </c:pt>
                <c:pt idx="11">
                  <c:v>2026-06</c:v>
                </c:pt>
              </c:strCache>
            </c:strRef>
          </c:cat>
          <c:val>
            <c:numRef>
              <c:f>'Quality Trend Data'!$E$5:$E$16</c:f>
              <c:numCache>
                <c:formatCode>0.0</c:formatCode>
                <c:ptCount val="12"/>
                <c:pt idx="0">
                  <c:v>73.7</c:v>
                </c:pt>
                <c:pt idx="1">
                  <c:v>74.8</c:v>
                </c:pt>
                <c:pt idx="2">
                  <c:v>78.4</c:v>
                </c:pt>
                <c:pt idx="3">
                  <c:v>78.8</c:v>
                </c:pt>
                <c:pt idx="4">
                  <c:v>79.2</c:v>
                </c:pt>
                <c:pt idx="5">
                  <c:v>80</c:v>
                </c:pt>
                <c:pt idx="6">
                  <c:v>80.9</c:v>
                </c:pt>
                <c:pt idx="7">
                  <c:v>82.8</c:v>
                </c:pt>
                <c:pt idx="8">
                  <c:v>85.2</c:v>
                </c:pt>
                <c:pt idx="9">
                  <c:v>86.5</c:v>
                </c:pt>
                <c:pt idx="10">
                  <c:v>87.8</c:v>
                </c:pt>
                <c:pt idx="11">
                  <c:v>89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'Quality Trend Data'!F4</c:f>
              <c:strCache>
                <c:ptCount val="1"/>
                <c:pt idx="0">
                  <c:v>Product Domain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'Quality Trend Data'!$A$5:$A$16</c:f>
              <c:strCache>
                <c:ptCount val="12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  <c:pt idx="4">
                  <c:v>2025-11</c:v>
                </c:pt>
                <c:pt idx="5">
                  <c:v>2025-12</c:v>
                </c:pt>
                <c:pt idx="6">
                  <c:v>2026-01</c:v>
                </c:pt>
                <c:pt idx="7">
                  <c:v>2026-02</c:v>
                </c:pt>
                <c:pt idx="8">
                  <c:v>2026-03</c:v>
                </c:pt>
                <c:pt idx="9">
                  <c:v>2026-04</c:v>
                </c:pt>
                <c:pt idx="10">
                  <c:v>2026-05</c:v>
                </c:pt>
                <c:pt idx="11">
                  <c:v>2026-06</c:v>
                </c:pt>
              </c:strCache>
            </c:strRef>
          </c:cat>
          <c:val>
            <c:numRef>
              <c:f>'Quality Trend Data'!$F$5:$F$16</c:f>
              <c:numCache>
                <c:formatCode>0.0</c:formatCode>
                <c:ptCount val="12"/>
                <c:pt idx="0">
                  <c:v>70.1</c:v>
                </c:pt>
                <c:pt idx="1">
                  <c:v>71.7</c:v>
                </c:pt>
                <c:pt idx="2">
                  <c:v>72.7</c:v>
                </c:pt>
                <c:pt idx="3">
                  <c:v>75.4</c:v>
                </c:pt>
                <c:pt idx="4">
                  <c:v>76.5</c:v>
                </c:pt>
                <c:pt idx="5">
                  <c:v>79.7</c:v>
                </c:pt>
                <c:pt idx="6">
                  <c:v>80.1</c:v>
                </c:pt>
                <c:pt idx="7">
                  <c:v>83.6</c:v>
                </c:pt>
                <c:pt idx="8">
                  <c:v>84.4</c:v>
                </c:pt>
                <c:pt idx="9">
                  <c:v>86.5</c:v>
                </c:pt>
                <c:pt idx="10">
                  <c:v>88</c:v>
                </c:pt>
                <c:pt idx="11">
                  <c:v>91.1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969017"/>
        <c:axId val="77599006"/>
      </c:lineChart>
      <c:catAx>
        <c:axId val="349690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99006"/>
        <c:crosses val="autoZero"/>
        <c:auto val="1"/>
        <c:lblAlgn val="ctr"/>
        <c:lblOffset val="100"/>
        <c:noMultiLvlLbl val="0"/>
      </c:catAx>
      <c:valAx>
        <c:axId val="775990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Pass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690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Issues Opened vs Resolved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'Quarterly Summary'!D3</c:f>
              <c:strCache>
                <c:ptCount val="1"/>
                <c:pt idx="0">
                  <c:v>Issues Resolved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'Quarterly Summary'!$A$4:$A$7</c:f>
              <c:strCache>
                <c:ptCount val="4"/>
                <c:pt idx="0">
                  <c:v>Q3 2025</c:v>
                </c:pt>
                <c:pt idx="1">
                  <c:v>Q4 2025</c:v>
                </c:pt>
                <c:pt idx="2">
                  <c:v>Q1 2026</c:v>
                </c:pt>
                <c:pt idx="3">
                  <c:v>Q2 2026</c:v>
                </c:pt>
              </c:strCache>
            </c:strRef>
          </c:cat>
          <c:val>
            <c:numRef>
              <c:f>'Quarterly Summary'!$D$4:$D$7</c:f>
              <c:numCache>
                <c:formatCode>General</c:formatCode>
                <c:ptCount val="4"/>
                <c:pt idx="0">
                  <c:v>38</c:v>
                </c:pt>
                <c:pt idx="1">
                  <c:v>45</c:v>
                </c:pt>
                <c:pt idx="2">
                  <c:v>52</c:v>
                </c:pt>
                <c:pt idx="3">
                  <c:v>61</c:v>
                </c:pt>
              </c:numCache>
            </c:numRef>
          </c:val>
        </c:ser>
        <c:ser>
          <c:idx val="1"/>
          <c:order val="1"/>
          <c:tx>
            <c:strRef>
              <c:f>'Quarterly Summary'!E3</c:f>
              <c:strCache>
                <c:ptCount val="1"/>
                <c:pt idx="0">
                  <c:v>Issues Opened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'Quarterly Summary'!$A$4:$A$7</c:f>
              <c:strCache>
                <c:ptCount val="4"/>
                <c:pt idx="0">
                  <c:v>Q3 2025</c:v>
                </c:pt>
                <c:pt idx="1">
                  <c:v>Q4 2025</c:v>
                </c:pt>
                <c:pt idx="2">
                  <c:v>Q1 2026</c:v>
                </c:pt>
                <c:pt idx="3">
                  <c:v>Q2 2026</c:v>
                </c:pt>
              </c:strCache>
            </c:strRef>
          </c:cat>
          <c:val>
            <c:numRef>
              <c:f>'Quarterly Summary'!$E$4:$E$7</c:f>
              <c:numCache>
                <c:formatCode>General</c:formatCode>
                <c:ptCount val="4"/>
                <c:pt idx="0">
                  <c:v>51</c:v>
                </c:pt>
                <c:pt idx="1">
                  <c:v>49</c:v>
                </c:pt>
                <c:pt idx="2">
                  <c:v>47</c:v>
                </c:pt>
                <c:pt idx="3">
                  <c:v>44</c:v>
                </c:pt>
              </c:numCache>
            </c:numRef>
          </c:val>
        </c:ser>
        <c:gapWidth val="150"/>
        <c:overlap val="0"/>
        <c:axId val="22697322"/>
        <c:axId val="26643959"/>
      </c:barChart>
      <c:catAx>
        <c:axId val="226973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43959"/>
        <c:crosses val="autoZero"/>
        <c:auto val="1"/>
        <c:lblAlgn val="ctr"/>
        <c:lblOffset val="100"/>
        <c:noMultiLvlLbl val="0"/>
      </c:catAx>
      <c:valAx>
        <c:axId val="266439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973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170640</xdr:rowOff>
    </xdr:from>
    <xdr:to>
      <xdr:col>9</xdr:col>
      <xdr:colOff>227160</xdr:colOff>
      <xdr:row>33</xdr:row>
      <xdr:rowOff>172080</xdr:rowOff>
    </xdr:to>
    <xdr:graphicFrame>
      <xdr:nvGraphicFramePr>
        <xdr:cNvPr id="0" name="Chart 1"/>
        <xdr:cNvGraphicFramePr/>
      </xdr:nvGraphicFramePr>
      <xdr:xfrm>
        <a:off x="0" y="342900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171000</xdr:rowOff>
    </xdr:from>
    <xdr:to>
      <xdr:col>6</xdr:col>
      <xdr:colOff>244440</xdr:colOff>
      <xdr:row>24</xdr:row>
      <xdr:rowOff>172080</xdr:rowOff>
    </xdr:to>
    <xdr:graphicFrame>
      <xdr:nvGraphicFramePr>
        <xdr:cNvPr id="1" name="Chart 1"/>
        <xdr:cNvGraphicFramePr/>
      </xdr:nvGraphicFramePr>
      <xdr:xfrm>
        <a:off x="0" y="1714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71.5</v>
      </c>
      <c r="C5" s="5" t="n">
        <v>77</v>
      </c>
      <c r="D5" s="5" t="n">
        <v>68.5</v>
      </c>
      <c r="E5" s="5" t="n">
        <v>73.7</v>
      </c>
      <c r="F5" s="5" t="n">
        <v>70.1</v>
      </c>
      <c r="G5" s="5" t="n">
        <f aca="false">AVERAGE(B5:F5)</f>
        <v>72.16</v>
      </c>
    </row>
    <row r="6" customFormat="false" ht="15" hidden="false" customHeight="false" outlineLevel="0" collapsed="false">
      <c r="A6" s="4" t="s">
        <v>10</v>
      </c>
      <c r="B6" s="5" t="n">
        <v>73.4</v>
      </c>
      <c r="C6" s="5" t="n">
        <v>78.2</v>
      </c>
      <c r="D6" s="5" t="n">
        <v>70.1</v>
      </c>
      <c r="E6" s="5" t="n">
        <v>74.8</v>
      </c>
      <c r="F6" s="5" t="n">
        <v>71.7</v>
      </c>
      <c r="G6" s="5" t="n">
        <f aca="false">AVERAGE(B6:F6)</f>
        <v>73.64</v>
      </c>
    </row>
    <row r="7" customFormat="false" ht="15" hidden="false" customHeight="false" outlineLevel="0" collapsed="false">
      <c r="A7" s="4" t="s">
        <v>11</v>
      </c>
      <c r="B7" s="5" t="n">
        <v>74.3</v>
      </c>
      <c r="C7" s="5" t="n">
        <v>79.8</v>
      </c>
      <c r="D7" s="5" t="n">
        <v>72</v>
      </c>
      <c r="E7" s="5" t="n">
        <v>78.4</v>
      </c>
      <c r="F7" s="5" t="n">
        <v>72.7</v>
      </c>
      <c r="G7" s="5" t="n">
        <f aca="false">AVERAGE(B7:F7)</f>
        <v>75.44</v>
      </c>
    </row>
    <row r="8" customFormat="false" ht="15" hidden="false" customHeight="false" outlineLevel="0" collapsed="false">
      <c r="A8" s="4" t="s">
        <v>12</v>
      </c>
      <c r="B8" s="5" t="n">
        <v>76.6</v>
      </c>
      <c r="C8" s="5" t="n">
        <v>82.9</v>
      </c>
      <c r="D8" s="5" t="n">
        <v>75.6</v>
      </c>
      <c r="E8" s="5" t="n">
        <v>78.8</v>
      </c>
      <c r="F8" s="5" t="n">
        <v>75.4</v>
      </c>
      <c r="G8" s="5" t="n">
        <f aca="false">AVERAGE(B8:F8)</f>
        <v>77.86</v>
      </c>
    </row>
    <row r="9" customFormat="false" ht="15" hidden="false" customHeight="false" outlineLevel="0" collapsed="false">
      <c r="A9" s="4" t="s">
        <v>13</v>
      </c>
      <c r="B9" s="5" t="n">
        <v>80.6</v>
      </c>
      <c r="C9" s="5" t="n">
        <v>82.6</v>
      </c>
      <c r="D9" s="5" t="n">
        <v>77.5</v>
      </c>
      <c r="E9" s="5" t="n">
        <v>79.2</v>
      </c>
      <c r="F9" s="5" t="n">
        <v>76.5</v>
      </c>
      <c r="G9" s="5" t="n">
        <f aca="false">AVERAGE(B9:F9)</f>
        <v>79.28</v>
      </c>
    </row>
    <row r="10" customFormat="false" ht="15" hidden="false" customHeight="false" outlineLevel="0" collapsed="false">
      <c r="A10" s="4" t="s">
        <v>14</v>
      </c>
      <c r="B10" s="5" t="n">
        <v>79.9</v>
      </c>
      <c r="C10" s="5" t="n">
        <v>84.9</v>
      </c>
      <c r="D10" s="5" t="n">
        <v>79.4</v>
      </c>
      <c r="E10" s="5" t="n">
        <v>80</v>
      </c>
      <c r="F10" s="5" t="n">
        <v>79.7</v>
      </c>
      <c r="G10" s="5" t="n">
        <f aca="false">AVERAGE(B10:F10)</f>
        <v>80.78</v>
      </c>
    </row>
    <row r="11" customFormat="false" ht="15" hidden="false" customHeight="false" outlineLevel="0" collapsed="false">
      <c r="A11" s="4" t="s">
        <v>15</v>
      </c>
      <c r="B11" s="5" t="n">
        <v>83.2</v>
      </c>
      <c r="C11" s="5" t="n">
        <v>86.6</v>
      </c>
      <c r="D11" s="5" t="n">
        <v>80.7</v>
      </c>
      <c r="E11" s="5" t="n">
        <v>80.9</v>
      </c>
      <c r="F11" s="5" t="n">
        <v>80.1</v>
      </c>
      <c r="G11" s="5" t="n">
        <f aca="false">AVERAGE(B11:F11)</f>
        <v>82.3</v>
      </c>
    </row>
    <row r="12" customFormat="false" ht="15" hidden="false" customHeight="false" outlineLevel="0" collapsed="false">
      <c r="A12" s="4" t="s">
        <v>16</v>
      </c>
      <c r="B12" s="5" t="n">
        <v>83.7</v>
      </c>
      <c r="C12" s="5" t="n">
        <v>89</v>
      </c>
      <c r="D12" s="5" t="n">
        <v>82.5</v>
      </c>
      <c r="E12" s="5" t="n">
        <v>82.8</v>
      </c>
      <c r="F12" s="5" t="n">
        <v>83.6</v>
      </c>
      <c r="G12" s="5" t="n">
        <f aca="false">AVERAGE(B12:F12)</f>
        <v>84.32</v>
      </c>
    </row>
    <row r="13" customFormat="false" ht="15" hidden="false" customHeight="false" outlineLevel="0" collapsed="false">
      <c r="A13" s="4" t="s">
        <v>17</v>
      </c>
      <c r="B13" s="5" t="n">
        <v>86.3</v>
      </c>
      <c r="C13" s="5" t="n">
        <v>89.4</v>
      </c>
      <c r="D13" s="5" t="n">
        <v>85.7</v>
      </c>
      <c r="E13" s="5" t="n">
        <v>85.2</v>
      </c>
      <c r="F13" s="5" t="n">
        <v>84.4</v>
      </c>
      <c r="G13" s="5" t="n">
        <f aca="false">AVERAGE(B13:F13)</f>
        <v>86.2</v>
      </c>
    </row>
    <row r="14" customFormat="false" ht="15" hidden="false" customHeight="false" outlineLevel="0" collapsed="false">
      <c r="A14" s="4" t="s">
        <v>18</v>
      </c>
      <c r="B14" s="5" t="n">
        <v>88.4</v>
      </c>
      <c r="C14" s="5" t="n">
        <v>91.6</v>
      </c>
      <c r="D14" s="5" t="n">
        <v>88</v>
      </c>
      <c r="E14" s="5" t="n">
        <v>86.5</v>
      </c>
      <c r="F14" s="5" t="n">
        <v>86.5</v>
      </c>
      <c r="G14" s="5" t="n">
        <f aca="false">AVERAGE(B14:F14)</f>
        <v>88.2</v>
      </c>
    </row>
    <row r="15" customFormat="false" ht="15" hidden="false" customHeight="false" outlineLevel="0" collapsed="false">
      <c r="A15" s="4" t="s">
        <v>19</v>
      </c>
      <c r="B15" s="5" t="n">
        <v>91.4</v>
      </c>
      <c r="C15" s="5" t="n">
        <v>91.9</v>
      </c>
      <c r="D15" s="5" t="n">
        <v>88.8</v>
      </c>
      <c r="E15" s="5" t="n">
        <v>87.8</v>
      </c>
      <c r="F15" s="5" t="n">
        <v>88</v>
      </c>
      <c r="G15" s="5" t="n">
        <f aca="false">AVERAGE(B15:F15)</f>
        <v>89.58</v>
      </c>
    </row>
    <row r="16" customFormat="false" ht="15" hidden="false" customHeight="false" outlineLevel="0" collapsed="false">
      <c r="A16" s="4" t="s">
        <v>20</v>
      </c>
      <c r="B16" s="5" t="n">
        <v>91.8</v>
      </c>
      <c r="C16" s="5" t="n">
        <v>93.1</v>
      </c>
      <c r="D16" s="5" t="n">
        <v>91.6</v>
      </c>
      <c r="E16" s="5" t="n">
        <v>89</v>
      </c>
      <c r="F16" s="5" t="n">
        <v>91.1</v>
      </c>
      <c r="G16" s="5" t="n">
        <f aca="false">AVERAGE(B16:F16)</f>
        <v>91.32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6"/>
  </cols>
  <sheetData>
    <row r="1" customFormat="false" ht="19.7" hidden="false" customHeight="false" outlineLevel="0" collapsed="false">
      <c r="A1" s="1" t="s">
        <v>21</v>
      </c>
      <c r="B1" s="1"/>
      <c r="C1" s="1"/>
      <c r="D1" s="1"/>
      <c r="E1" s="1"/>
    </row>
    <row r="3" customFormat="false" ht="26.85" hidden="false" customHeight="false" outlineLevel="0" collapsed="false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</row>
    <row r="4" customFormat="false" ht="15" hidden="false" customHeight="false" outlineLevel="0" collapsed="false">
      <c r="A4" s="4" t="s">
        <v>27</v>
      </c>
      <c r="B4" s="5" t="n">
        <v>73.4</v>
      </c>
      <c r="C4" s="4" t="n">
        <v>142</v>
      </c>
      <c r="D4" s="4" t="n">
        <v>38</v>
      </c>
      <c r="E4" s="4" t="n">
        <v>51</v>
      </c>
    </row>
    <row r="5" customFormat="false" ht="15" hidden="false" customHeight="false" outlineLevel="0" collapsed="false">
      <c r="A5" s="4" t="s">
        <v>28</v>
      </c>
      <c r="B5" s="5" t="n">
        <v>78.1</v>
      </c>
      <c r="C5" s="4" t="n">
        <v>168</v>
      </c>
      <c r="D5" s="4" t="n">
        <v>45</v>
      </c>
      <c r="E5" s="4" t="n">
        <v>49</v>
      </c>
    </row>
    <row r="6" customFormat="false" ht="15" hidden="false" customHeight="false" outlineLevel="0" collapsed="false">
      <c r="A6" s="4" t="s">
        <v>29</v>
      </c>
      <c r="B6" s="5" t="n">
        <v>83.6</v>
      </c>
      <c r="C6" s="4" t="n">
        <v>195</v>
      </c>
      <c r="D6" s="4" t="n">
        <v>52</v>
      </c>
      <c r="E6" s="4" t="n">
        <v>47</v>
      </c>
    </row>
    <row r="7" customFormat="false" ht="15" hidden="false" customHeight="false" outlineLevel="0" collapsed="false">
      <c r="A7" s="4" t="s">
        <v>30</v>
      </c>
      <c r="B7" s="5" t="n">
        <v>88.9</v>
      </c>
      <c r="C7" s="4" t="n">
        <v>221</v>
      </c>
      <c r="D7" s="4" t="n">
        <v>61</v>
      </c>
      <c r="E7" s="4" t="n">
        <v>44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2026-06-30T20:59:20Z</dcterms:created>
  <dc:creator>openpyxl</dc:creator>
  <dc:description/>
  <dc:language>en-US</dc:language>
  <cp:lastModifiedBy/>
  <dcterms:modified xsi:type="dcterms:W3CDTF">2026-06-30T20:59:22Z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