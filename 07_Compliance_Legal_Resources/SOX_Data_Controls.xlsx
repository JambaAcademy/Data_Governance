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jen\Downloads\Data_Governance-main\07_Compliance_Legal_Resources\"/>
    </mc:Choice>
  </mc:AlternateContent>
  <xr:revisionPtr revIDLastSave="0" documentId="13_ncr:1_{5FBDDBC0-E3C4-4058-BD32-DE6F5F1CE9F1}" xr6:coauthVersionLast="47" xr6:coauthVersionMax="47" xr10:uidLastSave="{00000000-0000-0000-0000-000000000000}"/>
  <bookViews>
    <workbookView xWindow="38290" yWindow="-110" windowWidth="38620" windowHeight="21100" tabRatio="500" activeTab="1" xr2:uid="{00000000-000D-0000-FFFF-FFFF00000000}"/>
  </bookViews>
  <sheets>
    <sheet name="SOX Data Controls" sheetId="1" r:id="rId1"/>
    <sheet name="Quarterly Testing Summary" sheetId="2" r:id="rId2"/>
  </sheets>
  <definedNames>
    <definedName name="_xlnm._FilterDatabase" localSheetId="0" hidden="1">'SOX Data Controls'!$A$4:$I$11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B5" i="2"/>
  <c r="B8" i="2" s="1"/>
  <c r="B4" i="2"/>
</calcChain>
</file>

<file path=xl/sharedStrings.xml><?xml version="1.0" encoding="utf-8"?>
<sst xmlns="http://schemas.openxmlformats.org/spreadsheetml/2006/main" count="82" uniqueCount="65">
  <si>
    <t>SOX Data Controls Register</t>
  </si>
  <si>
    <t>Instructions: Document each control relevant to financial data integrity. Not legal/audit advice — validate with Internal Audit and external auditors.</t>
  </si>
  <si>
    <t>Control ID</t>
  </si>
  <si>
    <t>Control Description</t>
  </si>
  <si>
    <t>Financial Process</t>
  </si>
  <si>
    <t>Control Type</t>
  </si>
  <si>
    <t>Control Frequency</t>
  </si>
  <si>
    <t>Control Owner</t>
  </si>
  <si>
    <t>Data Asset(s) Covered</t>
  </si>
  <si>
    <t>Last Tested</t>
  </si>
  <si>
    <t>Test Result</t>
  </si>
  <si>
    <t>SOX-D-001</t>
  </si>
  <si>
    <t>Reconciliation of source system data to general ledger</t>
  </si>
  <si>
    <t>Revenue Recognition</t>
  </si>
  <si>
    <t>Detective</t>
  </si>
  <si>
    <t>Monthly</t>
  </si>
  <si>
    <t>[Controller]</t>
  </si>
  <si>
    <t>fact_sales, GL</t>
  </si>
  <si>
    <t>2026-01-15</t>
  </si>
  <si>
    <t>Effective</t>
  </si>
  <si>
    <t>SOX-D-002</t>
  </si>
  <si>
    <t>Access controls restrict GL posting to authorized finance personnel</t>
  </si>
  <si>
    <t>Financial Close</t>
  </si>
  <si>
    <t>Preventive</t>
  </si>
  <si>
    <t>Quarterly Review</t>
  </si>
  <si>
    <t>[IT Security]</t>
  </si>
  <si>
    <t>ERP GL Module</t>
  </si>
  <si>
    <t>2026-01-10</t>
  </si>
  <si>
    <t>SOX-D-003</t>
  </si>
  <si>
    <t>Data lineage validation for revenue reporting figures</t>
  </si>
  <si>
    <t>Quarterly</t>
  </si>
  <si>
    <t>[Data Governance Office]</t>
  </si>
  <si>
    <t>fact_sales, dim_customer</t>
  </si>
  <si>
    <t>2026-01-12</t>
  </si>
  <si>
    <t>SOX-D-004</t>
  </si>
  <si>
    <t>Segregation of duties between data entry and approval roles</t>
  </si>
  <si>
    <t>Accounts Payable</t>
  </si>
  <si>
    <t>Continuous (system-enforced)</t>
  </si>
  <si>
    <t>[AP Manager]</t>
  </si>
  <si>
    <t>ERP AP Module</t>
  </si>
  <si>
    <t>2026-01-08</t>
  </si>
  <si>
    <t>SOX-D-005</t>
  </si>
  <si>
    <t>Automated data quality rules on critical financial data elements</t>
  </si>
  <si>
    <t>Financial Reporting</t>
  </si>
  <si>
    <t>Continuous (automated)</t>
  </si>
  <si>
    <t>[Data Quality Manager]</t>
  </si>
  <si>
    <t>fact_sales, fact_expenses</t>
  </si>
  <si>
    <t>2026-01-14</t>
  </si>
  <si>
    <t>SOX-D-006</t>
  </si>
  <si>
    <t>Change management approval required for financial system data model changes</t>
  </si>
  <si>
    <t>IT General Controls</t>
  </si>
  <si>
    <t>Per Change</t>
  </si>
  <si>
    <t>[Technical Lead]</t>
  </si>
  <si>
    <t>Data Warehouse Schema</t>
  </si>
  <si>
    <t>2026-01-05</t>
  </si>
  <si>
    <t>SOX-D-007</t>
  </si>
  <si>
    <t>Quarterly review of data steward access to financial reporting assets</t>
  </si>
  <si>
    <t>All Financial Domain Assets</t>
  </si>
  <si>
    <t>Needs Remediation</t>
  </si>
  <si>
    <t>Quarterly Control Testing Summary</t>
  </si>
  <si>
    <t>Metric</t>
  </si>
  <si>
    <t>Value</t>
  </si>
  <si>
    <t>Total Controls</t>
  </si>
  <si>
    <t>Not Tested</t>
  </si>
  <si>
    <t>% 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</si>
</sst>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9" fontId="4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zoomScaleNormal="100" workbookViewId="0">
      <pane ySplit="4" topLeftCell="A5" activePane="bottomLeft" state="frozen"/>
      <selection pane="bottomLeft" activeCell="B5" sqref="B5"/>
    </sheetView>
  </sheetViews>
  <sheetFormatPr defaultColWidth="8.6328125" defaultRowHeight="14.5" x14ac:dyDescent="0.35"/>
  <cols>
    <col min="1" max="1" width="11" customWidth="1"/>
    <col min="2" max="2" width="36" customWidth="1"/>
    <col min="3" max="3" width="18" customWidth="1"/>
    <col min="4" max="4" width="13" customWidth="1"/>
    <col min="5" max="6" width="18" customWidth="1"/>
    <col min="7" max="7" width="24" customWidth="1"/>
    <col min="8" max="8" width="13" customWidth="1"/>
    <col min="9" max="9" width="16" customWidth="1"/>
  </cols>
  <sheetData>
    <row r="1" spans="1:9" ht="20" x14ac:dyDescent="0.4">
      <c r="A1" s="8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35">
      <c r="A2" s="1" t="s">
        <v>1</v>
      </c>
      <c r="B2" s="1"/>
      <c r="C2" s="1"/>
      <c r="D2" s="1"/>
      <c r="E2" s="1"/>
      <c r="F2" s="1"/>
      <c r="G2" s="1"/>
      <c r="H2" s="1"/>
      <c r="I2" s="1"/>
    </row>
    <row r="4" spans="1:9" ht="2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25" x14ac:dyDescent="0.35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5" t="s">
        <v>17</v>
      </c>
      <c r="H5" s="4" t="s">
        <v>18</v>
      </c>
      <c r="I5" s="4" t="s">
        <v>19</v>
      </c>
    </row>
    <row r="6" spans="1:9" ht="25" x14ac:dyDescent="0.35">
      <c r="A6" s="4" t="s">
        <v>20</v>
      </c>
      <c r="B6" s="5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 t="s">
        <v>26</v>
      </c>
      <c r="H6" s="4" t="s">
        <v>27</v>
      </c>
      <c r="I6" s="4" t="s">
        <v>19</v>
      </c>
    </row>
    <row r="7" spans="1:9" ht="25" x14ac:dyDescent="0.35">
      <c r="A7" s="4" t="s">
        <v>28</v>
      </c>
      <c r="B7" s="5" t="s">
        <v>29</v>
      </c>
      <c r="C7" s="4" t="s">
        <v>13</v>
      </c>
      <c r="D7" s="4" t="s">
        <v>14</v>
      </c>
      <c r="E7" s="4" t="s">
        <v>30</v>
      </c>
      <c r="F7" s="4" t="s">
        <v>31</v>
      </c>
      <c r="G7" s="5" t="s">
        <v>32</v>
      </c>
      <c r="H7" s="4" t="s">
        <v>33</v>
      </c>
      <c r="I7" s="4" t="s">
        <v>19</v>
      </c>
    </row>
    <row r="8" spans="1:9" ht="25" x14ac:dyDescent="0.35">
      <c r="A8" s="4" t="s">
        <v>34</v>
      </c>
      <c r="B8" s="5" t="s">
        <v>35</v>
      </c>
      <c r="C8" s="4" t="s">
        <v>36</v>
      </c>
      <c r="D8" s="4" t="s">
        <v>23</v>
      </c>
      <c r="E8" s="4" t="s">
        <v>37</v>
      </c>
      <c r="F8" s="4" t="s">
        <v>38</v>
      </c>
      <c r="G8" s="5" t="s">
        <v>39</v>
      </c>
      <c r="H8" s="4" t="s">
        <v>40</v>
      </c>
      <c r="I8" s="4" t="s">
        <v>19</v>
      </c>
    </row>
    <row r="9" spans="1:9" ht="25" x14ac:dyDescent="0.35">
      <c r="A9" s="4" t="s">
        <v>41</v>
      </c>
      <c r="B9" s="5" t="s">
        <v>42</v>
      </c>
      <c r="C9" s="4" t="s">
        <v>43</v>
      </c>
      <c r="D9" s="4" t="s">
        <v>23</v>
      </c>
      <c r="E9" s="4" t="s">
        <v>44</v>
      </c>
      <c r="F9" s="4" t="s">
        <v>45</v>
      </c>
      <c r="G9" s="5" t="s">
        <v>46</v>
      </c>
      <c r="H9" s="4" t="s">
        <v>47</v>
      </c>
      <c r="I9" s="4" t="s">
        <v>19</v>
      </c>
    </row>
    <row r="10" spans="1:9" ht="25" x14ac:dyDescent="0.35">
      <c r="A10" s="4" t="s">
        <v>48</v>
      </c>
      <c r="B10" s="5" t="s">
        <v>49</v>
      </c>
      <c r="C10" s="4" t="s">
        <v>50</v>
      </c>
      <c r="D10" s="4" t="s">
        <v>23</v>
      </c>
      <c r="E10" s="4" t="s">
        <v>51</v>
      </c>
      <c r="F10" s="4" t="s">
        <v>52</v>
      </c>
      <c r="G10" s="5" t="s">
        <v>53</v>
      </c>
      <c r="H10" s="4" t="s">
        <v>54</v>
      </c>
      <c r="I10" s="4" t="s">
        <v>19</v>
      </c>
    </row>
    <row r="11" spans="1:9" ht="25" x14ac:dyDescent="0.35">
      <c r="A11" s="4" t="s">
        <v>55</v>
      </c>
      <c r="B11" s="5" t="s">
        <v>56</v>
      </c>
      <c r="C11" s="4" t="s">
        <v>50</v>
      </c>
      <c r="D11" s="4" t="s">
        <v>14</v>
      </c>
      <c r="E11" s="4" t="s">
        <v>30</v>
      </c>
      <c r="F11" s="4" t="s">
        <v>31</v>
      </c>
      <c r="G11" s="5" t="s">
        <v>57</v>
      </c>
      <c r="H11" s="4" t="s">
        <v>33</v>
      </c>
      <c r="I11" s="4" t="s">
        <v>58</v>
      </c>
    </row>
  </sheetData>
  <autoFilter ref="A4:I11" xr:uid="{00000000-0009-0000-0000-000000000000}"/>
  <mergeCells count="2">
    <mergeCell ref="A1:I1"/>
    <mergeCell ref="A2:I2"/>
  </mergeCells>
  <conditionalFormatting sqref="I5:I11">
    <cfRule type="cellIs" dxfId="2" priority="2" operator="equal">
      <formula>"Effective"</formula>
    </cfRule>
    <cfRule type="cellIs" dxfId="1" priority="3" operator="equal">
      <formula>"Needs Remediation"</formula>
    </cfRule>
    <cfRule type="cellIs" dxfId="0" priority="4" operator="equal">
      <formula>"Not Tested"</formula>
    </cfRule>
  </conditionalFormatting>
  <dataValidations count="2">
    <dataValidation type="list" allowBlank="1" sqref="D5:D21" xr:uid="{00000000-0002-0000-0000-000000000000}">
      <formula1>"Preventive,Detective,Corrective"</formula1>
      <formula2>0</formula2>
    </dataValidation>
    <dataValidation type="list" allowBlank="1" sqref="I5:I21" xr:uid="{00000000-0002-0000-0000-000001000000}">
      <formula1>"Effective,Needs Remediation,Not Tested"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tabSelected="1" zoomScaleNormal="100" workbookViewId="0">
      <selection activeCell="F9" sqref="F9"/>
    </sheetView>
  </sheetViews>
  <sheetFormatPr defaultColWidth="8.6328125" defaultRowHeight="14.5" x14ac:dyDescent="0.35"/>
  <cols>
    <col min="1" max="1" width="22" customWidth="1"/>
    <col min="2" max="2" width="16" customWidth="1"/>
  </cols>
  <sheetData>
    <row r="1" spans="1:4" ht="20" x14ac:dyDescent="0.4">
      <c r="A1" s="8" t="s">
        <v>59</v>
      </c>
      <c r="B1" s="8"/>
      <c r="C1" s="8"/>
      <c r="D1" s="8"/>
    </row>
    <row r="3" spans="1:4" x14ac:dyDescent="0.35">
      <c r="A3" s="3" t="s">
        <v>60</v>
      </c>
      <c r="B3" s="3" t="s">
        <v>61</v>
      </c>
    </row>
    <row r="4" spans="1:4" x14ac:dyDescent="0.35">
      <c r="A4" s="6" t="s">
        <v>62</v>
      </c>
      <c r="B4" s="4">
        <f>COUNTA('SOX Data Controls'!A5:A11)</f>
        <v>7</v>
      </c>
    </row>
    <row r="5" spans="1:4" x14ac:dyDescent="0.35">
      <c r="A5" s="6" t="s">
        <v>19</v>
      </c>
      <c r="B5" s="4">
        <f>COUNTIF('SOX Data Controls'!I5:I11,"Effective")</f>
        <v>6</v>
      </c>
    </row>
    <row r="6" spans="1:4" x14ac:dyDescent="0.35">
      <c r="A6" s="6" t="s">
        <v>58</v>
      </c>
      <c r="B6" s="4">
        <f>COUNTIF('SOX Data Controls'!I5:I11,"Needs Remediation")</f>
        <v>1</v>
      </c>
    </row>
    <row r="7" spans="1:4" x14ac:dyDescent="0.35">
      <c r="A7" s="6" t="s">
        <v>63</v>
      </c>
      <c r="B7" s="4">
        <f>COUNTIF('SOX Data Controls'!I5:I11,"Not Tested")</f>
        <v>0</v>
      </c>
    </row>
    <row r="8" spans="1:4" x14ac:dyDescent="0.35">
      <c r="A8" s="6" t="s">
        <v>64</v>
      </c>
      <c r="B8" s="7">
        <f>B5/B4</f>
        <v>0.8571428571428571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SOX Data Controls</vt:lpstr>
      <vt:lpstr>Quarterly Testing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Rajender Kumar</cp:lastModifiedBy>
  <cp:revision>0</cp:revision>
  <dcterms:created xsi:type="dcterms:W3CDTF">2026-06-30T20:54:13Z</dcterms:created>
  <dcterms:modified xsi:type="dcterms:W3CDTF">2026-06-30T20:57:47Z</dcterms:modified>
  <dc:language>en-US</dc:language>
</cp:coreProperties>
</file>