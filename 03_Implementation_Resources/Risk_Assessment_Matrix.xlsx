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section 3\"/>
    </mc:Choice>
  </mc:AlternateContent>
  <xr:revisionPtr revIDLastSave="0" documentId="13_ncr:1_{1A29546F-9327-40F3-99DC-0EAD8BA26752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Risk Register" sheetId="1" r:id="rId1"/>
    <sheet name="Likelihood-Impact Matrix" sheetId="2" r:id="rId2"/>
  </sheets>
  <definedNames>
    <definedName name="_xlnm._FilterDatabase" localSheetId="0" hidden="1">'Risk Register'!$A$4:$K$14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<sst xmlns="http://schemas.openxmlformats.org/spreadsheetml/2006/main" count="89" uniqueCount="64">
  <si>
    <t>Data Governance Implementation – Risk Assessment Matrix</t>
  </si>
  <si>
    <t>Instructions: Score Likelihood and Impact (1-5). Risk Score and Rating calculate automatically.</t>
  </si>
  <si>
    <t>Risk ID</t>
  </si>
  <si>
    <t>Risk Description</t>
  </si>
  <si>
    <t>Category</t>
  </si>
  <si>
    <t>Likelihood (1-5)</t>
  </si>
  <si>
    <t>Impact (1-5)</t>
  </si>
  <si>
    <t>Risk Score</t>
  </si>
  <si>
    <t>Risk Rating</t>
  </si>
  <si>
    <t>Mitigation Strategy</t>
  </si>
  <si>
    <t>Owner</t>
  </si>
  <si>
    <t>Status</t>
  </si>
  <si>
    <t>Last Reviewed</t>
  </si>
  <si>
    <t>R-001</t>
  </si>
  <si>
    <t>Stakeholder resistance to new governance processes</t>
  </si>
  <si>
    <t>Organizational</t>
  </si>
  <si>
    <t>Early engagement and structured change management plan</t>
  </si>
  <si>
    <t>[Change Mgmt Lead]</t>
  </si>
  <si>
    <t>Open</t>
  </si>
  <si>
    <t>2026-01-15</t>
  </si>
  <si>
    <t>R-002</t>
  </si>
  <si>
    <t>Key resource availability constraints during build phase</t>
  </si>
  <si>
    <t>Resourcing</t>
  </si>
  <si>
    <t>Secure dedicated resource commitments at charter approval</t>
  </si>
  <si>
    <t>[Project Manager]</t>
  </si>
  <si>
    <t>R-003</t>
  </si>
  <si>
    <t>Technical integration delays with source systems</t>
  </si>
  <si>
    <t>Technical</t>
  </si>
  <si>
    <t>Phased rollout with technical spikes ahead of full build</t>
  </si>
  <si>
    <t>[Technical Lead]</t>
  </si>
  <si>
    <t>R-004</t>
  </si>
  <si>
    <t>Data quality issues surfaced during implementation exceed remediation capacity</t>
  </si>
  <si>
    <t>Data Quality</t>
  </si>
  <si>
    <t>Dedicated remediation workstream with prioritized backlog</t>
  </si>
  <si>
    <t>[Data Quality Manager]</t>
  </si>
  <si>
    <t>R-005</t>
  </si>
  <si>
    <t>Regulatory requirements change mid-implementation</t>
  </si>
  <si>
    <t>Compliance</t>
  </si>
  <si>
    <t>Maintain regulatory horizon scanning and flexible policy design</t>
  </si>
  <si>
    <t>[Privacy Officer]</t>
  </si>
  <si>
    <t>R-006</t>
  </si>
  <si>
    <t>Budget overrun due to scope creep</t>
  </si>
  <si>
    <t>Financial</t>
  </si>
  <si>
    <t>Formal change control process for all scope additions</t>
  </si>
  <si>
    <t>R-007</t>
  </si>
  <si>
    <t>Insufficient executive sponsorship visibility</t>
  </si>
  <si>
    <t>Monthly steering committee reporting cadence</t>
  </si>
  <si>
    <t>[Executive Sponsor]</t>
  </si>
  <si>
    <t>R-008</t>
  </si>
  <si>
    <t>Tooling vendor delivery delays</t>
  </si>
  <si>
    <t>Contractual SLAs and contingency vendor shortlist</t>
  </si>
  <si>
    <t>R-009</t>
  </si>
  <si>
    <t>Inadequate training leads to low adoption</t>
  </si>
  <si>
    <t>Role-based training curriculum with completion tracking</t>
  </si>
  <si>
    <t>R-010</t>
  </si>
  <si>
    <t>Data privacy breach during migration/testing</t>
  </si>
  <si>
    <t>Security</t>
  </si>
  <si>
    <t>Use masked/synthetic data in non-production environments</t>
  </si>
  <si>
    <t>Risk Scoring Heat Map (Likelihood x Impact)</t>
  </si>
  <si>
    <t>Likelihood ↓ / Impact →</t>
  </si>
  <si>
    <t>Critical (15-25)</t>
  </si>
  <si>
    <t>High (10-14)</t>
  </si>
  <si>
    <t>Medium (5-9)</t>
  </si>
  <si>
    <t>Low (1-4)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</si>
</sst>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4" fillId="6" borderId="1" xfId="0" applyFont="1" applyFill="1" applyBorder="1"/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6B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showGridLines="0" zoomScaleNormal="100" workbookViewId="0">
      <pane ySplit="4" topLeftCell="A5" activePane="bottomLeft" state="frozen"/>
      <selection pane="bottomLeft" activeCell="H26" sqref="H26"/>
    </sheetView>
  </sheetViews>
  <sheetFormatPr defaultColWidth="8.6328125" defaultRowHeight="14.5" x14ac:dyDescent="0.35"/>
  <cols>
    <col min="1" max="1" width="9" customWidth="1"/>
    <col min="2" max="2" width="40" customWidth="1"/>
    <col min="3" max="3" width="16" customWidth="1"/>
    <col min="4" max="4" width="14" customWidth="1"/>
    <col min="5" max="7" width="12" customWidth="1"/>
    <col min="8" max="8" width="38" customWidth="1"/>
    <col min="9" max="9" width="18" customWidth="1"/>
    <col min="10" max="10" width="12" customWidth="1"/>
    <col min="11" max="11" width="14" customWidth="1"/>
  </cols>
  <sheetData>
    <row r="1" spans="1:11" ht="20" x14ac:dyDescent="0.4">
      <c r="A1" s="1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5" x14ac:dyDescent="0.35">
      <c r="A5" s="4" t="s">
        <v>13</v>
      </c>
      <c r="B5" s="5" t="s">
        <v>14</v>
      </c>
      <c r="C5" s="4" t="s">
        <v>15</v>
      </c>
      <c r="D5" s="4">
        <v>3</v>
      </c>
      <c r="E5" s="4">
        <v>4</v>
      </c>
      <c r="F5" s="4">
        <f t="shared" ref="F5:F14" si="0">D5*E5</f>
        <v>12</v>
      </c>
      <c r="G5" s="4" t="str">
        <f t="shared" ref="G5:G14" si="1">IF(F5&gt;=15,"Critical",IF(F5&gt;=10,"High",IF(F5&gt;=5,"Medium","Low")))</f>
        <v>High</v>
      </c>
      <c r="H5" s="5" t="s">
        <v>16</v>
      </c>
      <c r="I5" s="4" t="s">
        <v>17</v>
      </c>
      <c r="J5" s="4" t="s">
        <v>18</v>
      </c>
      <c r="K5" s="4" t="s">
        <v>19</v>
      </c>
    </row>
    <row r="6" spans="1:11" ht="25" x14ac:dyDescent="0.35">
      <c r="A6" s="4" t="s">
        <v>20</v>
      </c>
      <c r="B6" s="5" t="s">
        <v>21</v>
      </c>
      <c r="C6" s="4" t="s">
        <v>22</v>
      </c>
      <c r="D6" s="4">
        <v>3</v>
      </c>
      <c r="E6" s="4">
        <v>3</v>
      </c>
      <c r="F6" s="4">
        <f t="shared" si="0"/>
        <v>9</v>
      </c>
      <c r="G6" s="4" t="str">
        <f t="shared" si="1"/>
        <v>Medium</v>
      </c>
      <c r="H6" s="5" t="s">
        <v>23</v>
      </c>
      <c r="I6" s="4" t="s">
        <v>24</v>
      </c>
      <c r="J6" s="4" t="s">
        <v>18</v>
      </c>
      <c r="K6" s="4" t="s">
        <v>19</v>
      </c>
    </row>
    <row r="7" spans="1:11" ht="25" x14ac:dyDescent="0.35">
      <c r="A7" s="4" t="s">
        <v>25</v>
      </c>
      <c r="B7" s="5" t="s">
        <v>26</v>
      </c>
      <c r="C7" s="4" t="s">
        <v>27</v>
      </c>
      <c r="D7" s="4">
        <v>3</v>
      </c>
      <c r="E7" s="4">
        <v>4</v>
      </c>
      <c r="F7" s="4">
        <f t="shared" si="0"/>
        <v>12</v>
      </c>
      <c r="G7" s="4" t="str">
        <f t="shared" si="1"/>
        <v>High</v>
      </c>
      <c r="H7" s="5" t="s">
        <v>28</v>
      </c>
      <c r="I7" s="4" t="s">
        <v>29</v>
      </c>
      <c r="J7" s="4" t="s">
        <v>18</v>
      </c>
      <c r="K7" s="4" t="s">
        <v>19</v>
      </c>
    </row>
    <row r="8" spans="1:11" ht="25" x14ac:dyDescent="0.35">
      <c r="A8" s="4" t="s">
        <v>30</v>
      </c>
      <c r="B8" s="5" t="s">
        <v>31</v>
      </c>
      <c r="C8" s="4" t="s">
        <v>32</v>
      </c>
      <c r="D8" s="4">
        <v>4</v>
      </c>
      <c r="E8" s="4">
        <v>4</v>
      </c>
      <c r="F8" s="4">
        <f t="shared" si="0"/>
        <v>16</v>
      </c>
      <c r="G8" s="4" t="str">
        <f t="shared" si="1"/>
        <v>Critical</v>
      </c>
      <c r="H8" s="5" t="s">
        <v>33</v>
      </c>
      <c r="I8" s="4" t="s">
        <v>34</v>
      </c>
      <c r="J8" s="4" t="s">
        <v>18</v>
      </c>
      <c r="K8" s="4" t="s">
        <v>19</v>
      </c>
    </row>
    <row r="9" spans="1:11" ht="25" x14ac:dyDescent="0.35">
      <c r="A9" s="4" t="s">
        <v>35</v>
      </c>
      <c r="B9" s="5" t="s">
        <v>36</v>
      </c>
      <c r="C9" s="4" t="s">
        <v>37</v>
      </c>
      <c r="D9" s="4">
        <v>2</v>
      </c>
      <c r="E9" s="4">
        <v>5</v>
      </c>
      <c r="F9" s="4">
        <f t="shared" si="0"/>
        <v>10</v>
      </c>
      <c r="G9" s="4" t="str">
        <f t="shared" si="1"/>
        <v>High</v>
      </c>
      <c r="H9" s="5" t="s">
        <v>38</v>
      </c>
      <c r="I9" s="4" t="s">
        <v>39</v>
      </c>
      <c r="J9" s="4" t="s">
        <v>18</v>
      </c>
      <c r="K9" s="4" t="s">
        <v>19</v>
      </c>
    </row>
    <row r="10" spans="1:11" ht="25" x14ac:dyDescent="0.35">
      <c r="A10" s="4" t="s">
        <v>40</v>
      </c>
      <c r="B10" s="5" t="s">
        <v>41</v>
      </c>
      <c r="C10" s="4" t="s">
        <v>42</v>
      </c>
      <c r="D10" s="4">
        <v>3</v>
      </c>
      <c r="E10" s="4">
        <v>3</v>
      </c>
      <c r="F10" s="4">
        <f t="shared" si="0"/>
        <v>9</v>
      </c>
      <c r="G10" s="4" t="str">
        <f t="shared" si="1"/>
        <v>Medium</v>
      </c>
      <c r="H10" s="5" t="s">
        <v>43</v>
      </c>
      <c r="I10" s="4" t="s">
        <v>24</v>
      </c>
      <c r="J10" s="4" t="s">
        <v>18</v>
      </c>
      <c r="K10" s="4" t="s">
        <v>19</v>
      </c>
    </row>
    <row r="11" spans="1:11" ht="25" x14ac:dyDescent="0.35">
      <c r="A11" s="4" t="s">
        <v>44</v>
      </c>
      <c r="B11" s="5" t="s">
        <v>45</v>
      </c>
      <c r="C11" s="4" t="s">
        <v>15</v>
      </c>
      <c r="D11" s="4">
        <v>2</v>
      </c>
      <c r="E11" s="4">
        <v>4</v>
      </c>
      <c r="F11" s="4">
        <f t="shared" si="0"/>
        <v>8</v>
      </c>
      <c r="G11" s="4" t="str">
        <f t="shared" si="1"/>
        <v>Medium</v>
      </c>
      <c r="H11" s="5" t="s">
        <v>46</v>
      </c>
      <c r="I11" s="4" t="s">
        <v>47</v>
      </c>
      <c r="J11" s="4" t="s">
        <v>18</v>
      </c>
      <c r="K11" s="4" t="s">
        <v>19</v>
      </c>
    </row>
    <row r="12" spans="1:11" ht="25" x14ac:dyDescent="0.35">
      <c r="A12" s="4" t="s">
        <v>48</v>
      </c>
      <c r="B12" s="5" t="s">
        <v>49</v>
      </c>
      <c r="C12" s="4" t="s">
        <v>27</v>
      </c>
      <c r="D12" s="4">
        <v>2</v>
      </c>
      <c r="E12" s="4">
        <v>3</v>
      </c>
      <c r="F12" s="4">
        <f t="shared" si="0"/>
        <v>6</v>
      </c>
      <c r="G12" s="4" t="str">
        <f t="shared" si="1"/>
        <v>Medium</v>
      </c>
      <c r="H12" s="5" t="s">
        <v>50</v>
      </c>
      <c r="I12" s="4" t="s">
        <v>29</v>
      </c>
      <c r="J12" s="4" t="s">
        <v>18</v>
      </c>
      <c r="K12" s="4" t="s">
        <v>19</v>
      </c>
    </row>
    <row r="13" spans="1:11" ht="25" x14ac:dyDescent="0.35">
      <c r="A13" s="4" t="s">
        <v>51</v>
      </c>
      <c r="B13" s="5" t="s">
        <v>52</v>
      </c>
      <c r="C13" s="4" t="s">
        <v>15</v>
      </c>
      <c r="D13" s="4">
        <v>3</v>
      </c>
      <c r="E13" s="4">
        <v>3</v>
      </c>
      <c r="F13" s="4">
        <f t="shared" si="0"/>
        <v>9</v>
      </c>
      <c r="G13" s="4" t="str">
        <f t="shared" si="1"/>
        <v>Medium</v>
      </c>
      <c r="H13" s="5" t="s">
        <v>53</v>
      </c>
      <c r="I13" s="4" t="s">
        <v>17</v>
      </c>
      <c r="J13" s="4" t="s">
        <v>18</v>
      </c>
      <c r="K13" s="4" t="s">
        <v>19</v>
      </c>
    </row>
    <row r="14" spans="1:11" ht="25" x14ac:dyDescent="0.35">
      <c r="A14" s="4" t="s">
        <v>54</v>
      </c>
      <c r="B14" s="5" t="s">
        <v>55</v>
      </c>
      <c r="C14" s="4" t="s">
        <v>56</v>
      </c>
      <c r="D14" s="4">
        <v>2</v>
      </c>
      <c r="E14" s="4">
        <v>5</v>
      </c>
      <c r="F14" s="4">
        <f t="shared" si="0"/>
        <v>10</v>
      </c>
      <c r="G14" s="4" t="str">
        <f t="shared" si="1"/>
        <v>High</v>
      </c>
      <c r="H14" s="5" t="s">
        <v>57</v>
      </c>
      <c r="I14" s="4" t="s">
        <v>39</v>
      </c>
      <c r="J14" s="4" t="s">
        <v>18</v>
      </c>
      <c r="K14" s="4" t="s">
        <v>19</v>
      </c>
    </row>
  </sheetData>
  <autoFilter ref="A4:K14" xr:uid="{00000000-0009-0000-0000-000000000000}"/>
  <mergeCells count="2">
    <mergeCell ref="A1:K1"/>
    <mergeCell ref="A2:K2"/>
  </mergeCells>
  <conditionalFormatting sqref="G5:G14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2">
    <dataValidation type="whole" allowBlank="1" sqref="D5:E14" xr:uid="{00000000-0002-0000-0000-000000000000}">
      <formula1>1</formula1>
      <formula2>5</formula2>
    </dataValidation>
    <dataValidation type="list" allowBlank="1" sqref="J5:J14" xr:uid="{00000000-0002-0000-0000-000001000000}">
      <formula1>"Open,Mitigating,Closed,Accepted"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abSelected="1" zoomScaleNormal="100" workbookViewId="0">
      <selection activeCell="D17" sqref="D17"/>
    </sheetView>
  </sheetViews>
  <sheetFormatPr defaultColWidth="8.6328125" defaultRowHeight="14.5" x14ac:dyDescent="0.35"/>
  <cols>
    <col min="1" max="6" width="16" customWidth="1"/>
  </cols>
  <sheetData>
    <row r="1" spans="1:7" ht="20" x14ac:dyDescent="0.4">
      <c r="A1" s="16" t="s">
        <v>58</v>
      </c>
      <c r="B1" s="16"/>
      <c r="C1" s="16"/>
      <c r="D1" s="16"/>
      <c r="E1" s="16"/>
      <c r="F1" s="16"/>
      <c r="G1" s="16"/>
    </row>
    <row r="3" spans="1:7" x14ac:dyDescent="0.35">
      <c r="A3" s="6" t="s">
        <v>59</v>
      </c>
      <c r="B3" s="7">
        <v>1</v>
      </c>
      <c r="C3" s="7">
        <v>2</v>
      </c>
      <c r="D3" s="7">
        <v>3</v>
      </c>
      <c r="E3" s="7">
        <v>4</v>
      </c>
      <c r="F3" s="7">
        <v>5</v>
      </c>
    </row>
    <row r="4" spans="1:7" x14ac:dyDescent="0.35">
      <c r="A4" s="7">
        <v>5</v>
      </c>
      <c r="B4" s="8">
        <v>5</v>
      </c>
      <c r="C4" s="9">
        <v>10</v>
      </c>
      <c r="D4" s="10">
        <v>15</v>
      </c>
      <c r="E4" s="10">
        <v>20</v>
      </c>
      <c r="F4" s="10">
        <v>25</v>
      </c>
    </row>
    <row r="5" spans="1:7" x14ac:dyDescent="0.35">
      <c r="A5" s="7">
        <v>4</v>
      </c>
      <c r="B5" s="11">
        <v>4</v>
      </c>
      <c r="C5" s="8">
        <v>8</v>
      </c>
      <c r="D5" s="9">
        <v>12</v>
      </c>
      <c r="E5" s="10">
        <v>16</v>
      </c>
      <c r="F5" s="10">
        <v>20</v>
      </c>
    </row>
    <row r="6" spans="1:7" x14ac:dyDescent="0.35">
      <c r="A6" s="7">
        <v>3</v>
      </c>
      <c r="B6" s="11">
        <v>3</v>
      </c>
      <c r="C6" s="8">
        <v>6</v>
      </c>
      <c r="D6" s="8">
        <v>9</v>
      </c>
      <c r="E6" s="9">
        <v>12</v>
      </c>
      <c r="F6" s="10">
        <v>15</v>
      </c>
    </row>
    <row r="7" spans="1:7" x14ac:dyDescent="0.35">
      <c r="A7" s="7">
        <v>2</v>
      </c>
      <c r="B7" s="11">
        <v>2</v>
      </c>
      <c r="C7" s="11">
        <v>4</v>
      </c>
      <c r="D7" s="8">
        <v>6</v>
      </c>
      <c r="E7" s="8">
        <v>8</v>
      </c>
      <c r="F7" s="9">
        <v>10</v>
      </c>
    </row>
    <row r="8" spans="1:7" x14ac:dyDescent="0.35">
      <c r="A8" s="7">
        <v>1</v>
      </c>
      <c r="B8" s="11">
        <v>1</v>
      </c>
      <c r="C8" s="11">
        <v>2</v>
      </c>
      <c r="D8" s="11">
        <v>3</v>
      </c>
      <c r="E8" s="11">
        <v>4</v>
      </c>
      <c r="F8" s="8">
        <v>5</v>
      </c>
    </row>
    <row r="10" spans="1:7" x14ac:dyDescent="0.35">
      <c r="A10" s="12" t="s">
        <v>60</v>
      </c>
    </row>
    <row r="11" spans="1:7" x14ac:dyDescent="0.35">
      <c r="A11" s="13" t="s">
        <v>61</v>
      </c>
    </row>
    <row r="12" spans="1:7" x14ac:dyDescent="0.35">
      <c r="A12" s="14" t="s">
        <v>62</v>
      </c>
    </row>
    <row r="13" spans="1:7" x14ac:dyDescent="0.35">
      <c r="A13" s="15" t="s">
        <v>63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Likelihood-Impact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0</cp:revision>
  <dcterms:created xsi:type="dcterms:W3CDTF">2026-06-30T20:17:26Z</dcterms:created>
  <dcterms:modified xsi:type="dcterms:W3CDTF">2026-06-30T20:31:50Z</dcterms:modified>
  <dc:language>en-US</dc:language>
</cp:coreProperties>
</file>