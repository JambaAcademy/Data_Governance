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section 3\"/>
    </mc:Choice>
  </mc:AlternateContent>
  <xr:revisionPtr revIDLastSave="0" documentId="13_ncr:1_{5B72F59F-A3D1-4A29-821C-3FE24645B1EA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Implementation Roadmap" sheetId="1" r:id="rId1"/>
    <sheet name="Summary Dashboard" sheetId="2" r:id="rId2"/>
  </sheets>
  <definedNames>
    <definedName name="_xlnm._FilterDatabase" localSheetId="0" hidden="1">'Implementation Roadmap'!$A$4:$I$19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11" i="2" s="1"/>
  <c r="B9" i="2"/>
  <c r="B8" i="2"/>
  <c r="B7" i="2"/>
  <c r="B6" i="2"/>
  <c r="B5" i="2"/>
  <c r="B4" i="2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<sst xmlns="http://schemas.openxmlformats.org/spreadsheetml/2006/main" count="127" uniqueCount="83">
  <si>
    <t>Data Governance Implementation Roadmap Template</t>
  </si>
  <si>
    <t>Instructions: Replace bracketed placeholders. Duration and % Complete calculate automatically.</t>
  </si>
  <si>
    <t>Phase</t>
  </si>
  <si>
    <t>Workstream / Task</t>
  </si>
  <si>
    <t>Owner</t>
  </si>
  <si>
    <t>Start Date</t>
  </si>
  <si>
    <t>End Date</t>
  </si>
  <si>
    <t>Duration (Days)</t>
  </si>
  <si>
    <t>Status</t>
  </si>
  <si>
    <t>% Complete</t>
  </si>
  <si>
    <t>Dependencies</t>
  </si>
  <si>
    <t>Phase 1: Initiation</t>
  </si>
  <si>
    <t>Approve project charter</t>
  </si>
  <si>
    <t>[Project Manager]</t>
  </si>
  <si>
    <t>2026-01-05</t>
  </si>
  <si>
    <t>2026-01-12</t>
  </si>
  <si>
    <t>Not Started</t>
  </si>
  <si>
    <t>None</t>
  </si>
  <si>
    <t>Mobilize project team</t>
  </si>
  <si>
    <t>2026-01-19</t>
  </si>
  <si>
    <t>Charter approval</t>
  </si>
  <si>
    <t>Conduct kickoff workshop</t>
  </si>
  <si>
    <t>2026-01-21</t>
  </si>
  <si>
    <t>Team mobilized</t>
  </si>
  <si>
    <t>Phase 2: Design</t>
  </si>
  <si>
    <t>Define governance processes</t>
  </si>
  <si>
    <t>[Governance Lead]</t>
  </si>
  <si>
    <t>2026-01-22</t>
  </si>
  <si>
    <t>2026-02-12</t>
  </si>
  <si>
    <t>Kickoff complete</t>
  </si>
  <si>
    <t>Finalize data standards</t>
  </si>
  <si>
    <t>[Data Steward]</t>
  </si>
  <si>
    <t>2026-02-19</t>
  </si>
  <si>
    <t>Design technical architecture</t>
  </si>
  <si>
    <t>[Technical Lead]</t>
  </si>
  <si>
    <t>2026-01-29</t>
  </si>
  <si>
    <t>Process design started</t>
  </si>
  <si>
    <t>Phase 3: Build</t>
  </si>
  <si>
    <t>Configure governance tooling</t>
  </si>
  <si>
    <t>2026-02-20</t>
  </si>
  <si>
    <t>2026-03-20</t>
  </si>
  <si>
    <t>Architecture approved</t>
  </si>
  <si>
    <t>Onboard pilot domain</t>
  </si>
  <si>
    <t>2026-03-02</t>
  </si>
  <si>
    <t>2026-03-27</t>
  </si>
  <si>
    <t>Tooling configured</t>
  </si>
  <si>
    <t>Develop training materials</t>
  </si>
  <si>
    <t>[Change Mgmt Lead]</t>
  </si>
  <si>
    <t>2026-03-13</t>
  </si>
  <si>
    <t>Process design complete</t>
  </si>
  <si>
    <t>Phase 4: Rollout</t>
  </si>
  <si>
    <t>Deploy to all business domains</t>
  </si>
  <si>
    <t>2026-03-30</t>
  </si>
  <si>
    <t>2026-05-08</t>
  </si>
  <si>
    <t>Pilot validated</t>
  </si>
  <si>
    <t>Deliver organization-wide training</t>
  </si>
  <si>
    <t>2026-04-24</t>
  </si>
  <si>
    <t>Training materials ready</t>
  </si>
  <si>
    <t>Activate monitoring dashboards</t>
  </si>
  <si>
    <t>2026-04-13</t>
  </si>
  <si>
    <t>Tooling deployed</t>
  </si>
  <si>
    <t>Phase 5: Stabilization</t>
  </si>
  <si>
    <t>Transition to operations/BAU</t>
  </si>
  <si>
    <t>2026-05-11</t>
  </si>
  <si>
    <t>2026-05-29</t>
  </si>
  <si>
    <t>Rollout complete</t>
  </si>
  <si>
    <t>Conduct lessons learned review</t>
  </si>
  <si>
    <t>2026-05-25</t>
  </si>
  <si>
    <t>Transition started</t>
  </si>
  <si>
    <t>Close project and report to council</t>
  </si>
  <si>
    <t>2026-06-05</t>
  </si>
  <si>
    <t>Lessons learned complete</t>
  </si>
  <si>
    <t>Roadmap Summary</t>
  </si>
  <si>
    <t>Metric</t>
  </si>
  <si>
    <t>Value</t>
  </si>
  <si>
    <t>Total Tasks</t>
  </si>
  <si>
    <t>Tasks Complete</t>
  </si>
  <si>
    <t>Tasks At Risk</t>
  </si>
  <si>
    <t>Tasks Delayed</t>
  </si>
  <si>
    <t>Average % Complete</t>
  </si>
  <si>
    <t>Project Start</t>
  </si>
  <si>
    <t>Project End</t>
  </si>
  <si>
    <t>Total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</si>
</sst>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9" fontId="3" fillId="0" borderId="8" xfId="0" applyNumberFormat="1" applyFont="1" applyBorder="1"/>
    <xf numFmtId="0" fontId="3" fillId="0" borderId="9" xfId="0" applyFont="1" applyBorder="1"/>
    <xf numFmtId="0" fontId="5" fillId="0" borderId="0" xfId="0" applyFont="1"/>
    <xf numFmtId="0" fontId="4" fillId="0" borderId="2" xfId="0" applyFont="1" applyBorder="1"/>
    <xf numFmtId="9" fontId="3" fillId="0" borderId="3" xfId="0" applyNumberFormat="1" applyFont="1" applyBorder="1"/>
    <xf numFmtId="164" fontId="3" fillId="0" borderId="3" xfId="0" applyNumberFormat="1" applyFont="1" applyBorder="1"/>
    <xf numFmtId="0" fontId="4" fillId="0" borderId="7" xfId="0" applyFont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2F2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10EBE-D41F-4B1E-898D-017C7A56108A}" name="Table1" displayName="Table1" ref="A4:I19" totalsRowShown="0" headerRowDxfId="5" headerRowBorderDxfId="16" tableBorderDxfId="17" totalsRowBorderDxfId="15">
  <autoFilter ref="A4:I19" xr:uid="{00000000-0009-0000-0000-000000000000}"/>
  <tableColumns count="9">
    <tableColumn id="1" xr3:uid="{E99F06D8-8E74-4769-918E-5BC57B94514B}" name="Phase" dataDxfId="14"/>
    <tableColumn id="2" xr3:uid="{8D1DC674-9DB5-4A43-82E9-2468A7034ADB}" name="Workstream / Task" dataDxfId="13"/>
    <tableColumn id="3" xr3:uid="{B0196F0A-BD0B-449E-A29A-B801FEC43CA3}" name="Owner" dataDxfId="12"/>
    <tableColumn id="4" xr3:uid="{D11FB125-9D8F-4227-9910-5CBABF50B7F6}" name="Start Date" dataDxfId="11"/>
    <tableColumn id="5" xr3:uid="{8B82339C-8983-4F5F-B170-A67081B4A3D9}" name="End Date" dataDxfId="10"/>
    <tableColumn id="6" xr3:uid="{53EBA266-CD45-4BD7-8BC7-5BBE2E7662C1}" name="Duration (Days)" dataDxfId="9">
      <calculatedColumnFormula>E5-D5</calculatedColumnFormula>
    </tableColumn>
    <tableColumn id="7" xr3:uid="{8A7F705B-0D36-418F-91D2-B3C47DE8E890}" name="Status" dataDxfId="8"/>
    <tableColumn id="8" xr3:uid="{EE70D381-9BC1-4937-BE4A-14FAB60FF37C}" name="% Complete" dataDxfId="7"/>
    <tableColumn id="9" xr3:uid="{67D92508-C49B-4A37-8890-BD31A9FE7A18}" name="Dependencies" dataDxfId="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5D93A-DB54-4BE0-8BC3-11E05A8CB285}" name="Table2" displayName="Table2" ref="A3:B11" totalsRowShown="0" headerRowDxfId="0" headerRowBorderDxfId="3" tableBorderDxfId="4" totalsRowBorderDxfId="2">
  <autoFilter ref="A3:B11" xr:uid="{1485D93A-DB54-4BE0-8BC3-11E05A8CB285}"/>
  <tableColumns count="2">
    <tableColumn id="1" xr3:uid="{6C5BCC71-CD68-4514-B30E-C51181A78C11}" name="Metric" dataDxfId="1"/>
    <tableColumn id="2" xr3:uid="{EFA8C303-38A6-45C8-A6A5-A79EF72F9058}" name="Valu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zoomScaleNormal="100" workbookViewId="0">
      <pane ySplit="4" topLeftCell="A5" activePane="bottomLeft" state="frozen"/>
      <selection pane="bottomLeft" activeCell="D26" sqref="D26"/>
    </sheetView>
  </sheetViews>
  <sheetFormatPr defaultColWidth="8.6328125" defaultRowHeight="14.5" x14ac:dyDescent="0.35"/>
  <cols>
    <col min="1" max="1" width="18" customWidth="1"/>
    <col min="2" max="2" width="32" customWidth="1"/>
    <col min="3" max="3" width="20" customWidth="1"/>
    <col min="4" max="4" width="12.08984375" customWidth="1"/>
    <col min="5" max="5" width="12" customWidth="1"/>
    <col min="6" max="6" width="17.1796875" customWidth="1"/>
    <col min="7" max="7" width="13" customWidth="1"/>
    <col min="8" max="8" width="13.81640625" customWidth="1"/>
    <col min="9" max="9" width="22" customWidth="1"/>
  </cols>
  <sheetData>
    <row r="1" spans="1:9" ht="20" x14ac:dyDescent="0.4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28" x14ac:dyDescent="0.3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x14ac:dyDescent="0.35">
      <c r="A5" s="5" t="s">
        <v>11</v>
      </c>
      <c r="B5" s="2" t="s">
        <v>12</v>
      </c>
      <c r="C5" s="2" t="s">
        <v>13</v>
      </c>
      <c r="D5" s="3" t="s">
        <v>14</v>
      </c>
      <c r="E5" s="3" t="s">
        <v>15</v>
      </c>
      <c r="F5" s="2">
        <f t="shared" ref="F5:F19" si="0">E5-D5</f>
        <v>7</v>
      </c>
      <c r="G5" s="2" t="s">
        <v>16</v>
      </c>
      <c r="H5" s="4">
        <v>0</v>
      </c>
      <c r="I5" s="7" t="s">
        <v>17</v>
      </c>
    </row>
    <row r="6" spans="1:9" x14ac:dyDescent="0.35">
      <c r="A6" s="5" t="s">
        <v>11</v>
      </c>
      <c r="B6" s="2" t="s">
        <v>18</v>
      </c>
      <c r="C6" s="2" t="s">
        <v>13</v>
      </c>
      <c r="D6" s="3" t="s">
        <v>15</v>
      </c>
      <c r="E6" s="3" t="s">
        <v>19</v>
      </c>
      <c r="F6" s="2">
        <f t="shared" si="0"/>
        <v>7</v>
      </c>
      <c r="G6" s="2" t="s">
        <v>16</v>
      </c>
      <c r="H6" s="4">
        <v>0</v>
      </c>
      <c r="I6" s="7" t="s">
        <v>20</v>
      </c>
    </row>
    <row r="7" spans="1:9" x14ac:dyDescent="0.35">
      <c r="A7" s="5" t="s">
        <v>11</v>
      </c>
      <c r="B7" s="2" t="s">
        <v>21</v>
      </c>
      <c r="C7" s="2" t="s">
        <v>13</v>
      </c>
      <c r="D7" s="3" t="s">
        <v>19</v>
      </c>
      <c r="E7" s="3" t="s">
        <v>22</v>
      </c>
      <c r="F7" s="2">
        <f t="shared" si="0"/>
        <v>2</v>
      </c>
      <c r="G7" s="2" t="s">
        <v>16</v>
      </c>
      <c r="H7" s="4">
        <v>0</v>
      </c>
      <c r="I7" s="7" t="s">
        <v>23</v>
      </c>
    </row>
    <row r="8" spans="1:9" x14ac:dyDescent="0.35">
      <c r="A8" s="6" t="s">
        <v>24</v>
      </c>
      <c r="B8" s="2" t="s">
        <v>25</v>
      </c>
      <c r="C8" s="2" t="s">
        <v>26</v>
      </c>
      <c r="D8" s="3" t="s">
        <v>27</v>
      </c>
      <c r="E8" s="3" t="s">
        <v>28</v>
      </c>
      <c r="F8" s="2">
        <f t="shared" si="0"/>
        <v>21</v>
      </c>
      <c r="G8" s="2" t="s">
        <v>16</v>
      </c>
      <c r="H8" s="4">
        <v>0</v>
      </c>
      <c r="I8" s="7" t="s">
        <v>29</v>
      </c>
    </row>
    <row r="9" spans="1:9" x14ac:dyDescent="0.35">
      <c r="A9" s="6" t="s">
        <v>24</v>
      </c>
      <c r="B9" s="2" t="s">
        <v>30</v>
      </c>
      <c r="C9" s="2" t="s">
        <v>31</v>
      </c>
      <c r="D9" s="3" t="s">
        <v>27</v>
      </c>
      <c r="E9" s="3" t="s">
        <v>32</v>
      </c>
      <c r="F9" s="2">
        <f t="shared" si="0"/>
        <v>28</v>
      </c>
      <c r="G9" s="2" t="s">
        <v>16</v>
      </c>
      <c r="H9" s="4">
        <v>0</v>
      </c>
      <c r="I9" s="7" t="s">
        <v>29</v>
      </c>
    </row>
    <row r="10" spans="1:9" x14ac:dyDescent="0.35">
      <c r="A10" s="6" t="s">
        <v>24</v>
      </c>
      <c r="B10" s="2" t="s">
        <v>33</v>
      </c>
      <c r="C10" s="2" t="s">
        <v>34</v>
      </c>
      <c r="D10" s="3" t="s">
        <v>35</v>
      </c>
      <c r="E10" s="3" t="s">
        <v>32</v>
      </c>
      <c r="F10" s="2">
        <f t="shared" si="0"/>
        <v>21</v>
      </c>
      <c r="G10" s="2" t="s">
        <v>16</v>
      </c>
      <c r="H10" s="4">
        <v>0</v>
      </c>
      <c r="I10" s="7" t="s">
        <v>36</v>
      </c>
    </row>
    <row r="11" spans="1:9" x14ac:dyDescent="0.35">
      <c r="A11" s="5" t="s">
        <v>37</v>
      </c>
      <c r="B11" s="2" t="s">
        <v>38</v>
      </c>
      <c r="C11" s="2" t="s">
        <v>34</v>
      </c>
      <c r="D11" s="3" t="s">
        <v>39</v>
      </c>
      <c r="E11" s="3" t="s">
        <v>40</v>
      </c>
      <c r="F11" s="2">
        <f t="shared" si="0"/>
        <v>28</v>
      </c>
      <c r="G11" s="2" t="s">
        <v>16</v>
      </c>
      <c r="H11" s="4">
        <v>0</v>
      </c>
      <c r="I11" s="7" t="s">
        <v>41</v>
      </c>
    </row>
    <row r="12" spans="1:9" x14ac:dyDescent="0.35">
      <c r="A12" s="5" t="s">
        <v>37</v>
      </c>
      <c r="B12" s="2" t="s">
        <v>42</v>
      </c>
      <c r="C12" s="2" t="s">
        <v>31</v>
      </c>
      <c r="D12" s="3" t="s">
        <v>43</v>
      </c>
      <c r="E12" s="3" t="s">
        <v>44</v>
      </c>
      <c r="F12" s="2">
        <f t="shared" si="0"/>
        <v>25</v>
      </c>
      <c r="G12" s="2" t="s">
        <v>16</v>
      </c>
      <c r="H12" s="4">
        <v>0</v>
      </c>
      <c r="I12" s="7" t="s">
        <v>45</v>
      </c>
    </row>
    <row r="13" spans="1:9" x14ac:dyDescent="0.35">
      <c r="A13" s="5" t="s">
        <v>37</v>
      </c>
      <c r="B13" s="2" t="s">
        <v>46</v>
      </c>
      <c r="C13" s="2" t="s">
        <v>47</v>
      </c>
      <c r="D13" s="3" t="s">
        <v>39</v>
      </c>
      <c r="E13" s="3" t="s">
        <v>48</v>
      </c>
      <c r="F13" s="2">
        <f t="shared" si="0"/>
        <v>21</v>
      </c>
      <c r="G13" s="2" t="s">
        <v>16</v>
      </c>
      <c r="H13" s="4">
        <v>0</v>
      </c>
      <c r="I13" s="7" t="s">
        <v>49</v>
      </c>
    </row>
    <row r="14" spans="1:9" x14ac:dyDescent="0.35">
      <c r="A14" s="6" t="s">
        <v>50</v>
      </c>
      <c r="B14" s="2" t="s">
        <v>51</v>
      </c>
      <c r="C14" s="2" t="s">
        <v>13</v>
      </c>
      <c r="D14" s="3" t="s">
        <v>52</v>
      </c>
      <c r="E14" s="3" t="s">
        <v>53</v>
      </c>
      <c r="F14" s="2">
        <f t="shared" si="0"/>
        <v>39</v>
      </c>
      <c r="G14" s="2" t="s">
        <v>16</v>
      </c>
      <c r="H14" s="4">
        <v>0</v>
      </c>
      <c r="I14" s="7" t="s">
        <v>54</v>
      </c>
    </row>
    <row r="15" spans="1:9" x14ac:dyDescent="0.35">
      <c r="A15" s="6" t="s">
        <v>50</v>
      </c>
      <c r="B15" s="2" t="s">
        <v>55</v>
      </c>
      <c r="C15" s="2" t="s">
        <v>47</v>
      </c>
      <c r="D15" s="3" t="s">
        <v>52</v>
      </c>
      <c r="E15" s="3" t="s">
        <v>56</v>
      </c>
      <c r="F15" s="2">
        <f t="shared" si="0"/>
        <v>25</v>
      </c>
      <c r="G15" s="2" t="s">
        <v>16</v>
      </c>
      <c r="H15" s="4">
        <v>0</v>
      </c>
      <c r="I15" s="7" t="s">
        <v>57</v>
      </c>
    </row>
    <row r="16" spans="1:9" x14ac:dyDescent="0.35">
      <c r="A16" s="6" t="s">
        <v>50</v>
      </c>
      <c r="B16" s="2" t="s">
        <v>58</v>
      </c>
      <c r="C16" s="2" t="s">
        <v>34</v>
      </c>
      <c r="D16" s="3" t="s">
        <v>59</v>
      </c>
      <c r="E16" s="3" t="s">
        <v>56</v>
      </c>
      <c r="F16" s="2">
        <f t="shared" si="0"/>
        <v>11</v>
      </c>
      <c r="G16" s="2" t="s">
        <v>16</v>
      </c>
      <c r="H16" s="4">
        <v>0</v>
      </c>
      <c r="I16" s="7" t="s">
        <v>60</v>
      </c>
    </row>
    <row r="17" spans="1:9" x14ac:dyDescent="0.35">
      <c r="A17" s="5" t="s">
        <v>61</v>
      </c>
      <c r="B17" s="2" t="s">
        <v>62</v>
      </c>
      <c r="C17" s="2" t="s">
        <v>26</v>
      </c>
      <c r="D17" s="3" t="s">
        <v>63</v>
      </c>
      <c r="E17" s="3" t="s">
        <v>64</v>
      </c>
      <c r="F17" s="2">
        <f t="shared" si="0"/>
        <v>18</v>
      </c>
      <c r="G17" s="2" t="s">
        <v>16</v>
      </c>
      <c r="H17" s="4">
        <v>0</v>
      </c>
      <c r="I17" s="7" t="s">
        <v>65</v>
      </c>
    </row>
    <row r="18" spans="1:9" x14ac:dyDescent="0.35">
      <c r="A18" s="5" t="s">
        <v>61</v>
      </c>
      <c r="B18" s="2" t="s">
        <v>66</v>
      </c>
      <c r="C18" s="2" t="s">
        <v>13</v>
      </c>
      <c r="D18" s="3" t="s">
        <v>67</v>
      </c>
      <c r="E18" s="3" t="s">
        <v>64</v>
      </c>
      <c r="F18" s="2">
        <f t="shared" si="0"/>
        <v>4</v>
      </c>
      <c r="G18" s="2" t="s">
        <v>16</v>
      </c>
      <c r="H18" s="4">
        <v>0</v>
      </c>
      <c r="I18" s="7" t="s">
        <v>68</v>
      </c>
    </row>
    <row r="19" spans="1:9" x14ac:dyDescent="0.35">
      <c r="A19" s="11" t="s">
        <v>61</v>
      </c>
      <c r="B19" s="12" t="s">
        <v>69</v>
      </c>
      <c r="C19" s="12" t="s">
        <v>13</v>
      </c>
      <c r="D19" s="13" t="s">
        <v>64</v>
      </c>
      <c r="E19" s="13" t="s">
        <v>70</v>
      </c>
      <c r="F19" s="12">
        <f t="shared" si="0"/>
        <v>7</v>
      </c>
      <c r="G19" s="12" t="s">
        <v>16</v>
      </c>
      <c r="H19" s="14">
        <v>0</v>
      </c>
      <c r="I19" s="15" t="s">
        <v>71</v>
      </c>
    </row>
  </sheetData>
  <mergeCells count="2">
    <mergeCell ref="A1:I1"/>
    <mergeCell ref="A2:I2"/>
  </mergeCells>
  <conditionalFormatting sqref="G5:G19">
    <cfRule type="cellIs" dxfId="20" priority="2" operator="equal">
      <formula>"Complete"</formula>
    </cfRule>
    <cfRule type="cellIs" dxfId="19" priority="3" operator="equal">
      <formula>"At Risk"</formula>
    </cfRule>
    <cfRule type="cellIs" dxfId="18" priority="4" operator="equal">
      <formula>"Delayed"</formula>
    </cfRule>
  </conditionalFormatting>
  <dataValidations count="2">
    <dataValidation type="list" allowBlank="1" sqref="G5:G19" xr:uid="{00000000-0002-0000-0000-000000000000}">
      <formula1>"Not Started,In Progress,Complete,At Risk,Delayed"</formula1>
      <formula2>0</formula2>
    </dataValidation>
    <dataValidation type="decimal" allowBlank="1" sqref="H5:H19" xr:uid="{00000000-0002-0000-0000-000001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tabSelected="1" zoomScaleNormal="100" workbookViewId="0">
      <selection activeCell="F13" sqref="F13"/>
    </sheetView>
  </sheetViews>
  <sheetFormatPr defaultColWidth="8.6328125" defaultRowHeight="14.5" x14ac:dyDescent="0.35"/>
  <cols>
    <col min="1" max="1" width="26" customWidth="1"/>
    <col min="2" max="2" width="20" customWidth="1"/>
  </cols>
  <sheetData>
    <row r="1" spans="1:4" ht="20" x14ac:dyDescent="0.4">
      <c r="A1" s="16" t="s">
        <v>72</v>
      </c>
      <c r="B1" s="16"/>
      <c r="C1" s="16"/>
      <c r="D1" s="16"/>
    </row>
    <row r="3" spans="1:4" x14ac:dyDescent="0.35">
      <c r="A3" s="8" t="s">
        <v>73</v>
      </c>
      <c r="B3" s="10" t="s">
        <v>74</v>
      </c>
    </row>
    <row r="4" spans="1:4" x14ac:dyDescent="0.35">
      <c r="A4" s="17" t="s">
        <v>75</v>
      </c>
      <c r="B4" s="7">
        <f>COUNTA('Implementation Roadmap'!B5:B19)</f>
        <v>15</v>
      </c>
    </row>
    <row r="5" spans="1:4" x14ac:dyDescent="0.35">
      <c r="A5" s="17" t="s">
        <v>76</v>
      </c>
      <c r="B5" s="7">
        <f>COUNTIF('Implementation Roadmap'!G5:G19,"Complete")</f>
        <v>0</v>
      </c>
    </row>
    <row r="6" spans="1:4" x14ac:dyDescent="0.35">
      <c r="A6" s="17" t="s">
        <v>77</v>
      </c>
      <c r="B6" s="7">
        <f>COUNTIF('Implementation Roadmap'!G5:G19,"At Risk")</f>
        <v>0</v>
      </c>
    </row>
    <row r="7" spans="1:4" x14ac:dyDescent="0.35">
      <c r="A7" s="17" t="s">
        <v>78</v>
      </c>
      <c r="B7" s="7">
        <f>COUNTIF('Implementation Roadmap'!G5:G19,"Delayed")</f>
        <v>0</v>
      </c>
    </row>
    <row r="8" spans="1:4" x14ac:dyDescent="0.35">
      <c r="A8" s="17" t="s">
        <v>79</v>
      </c>
      <c r="B8" s="18">
        <f>AVERAGE('Implementation Roadmap'!H5:H19)</f>
        <v>0</v>
      </c>
    </row>
    <row r="9" spans="1:4" x14ac:dyDescent="0.35">
      <c r="A9" s="17" t="s">
        <v>80</v>
      </c>
      <c r="B9" s="19">
        <f>MIN('Implementation Roadmap'!D5:D19)</f>
        <v>0</v>
      </c>
    </row>
    <row r="10" spans="1:4" x14ac:dyDescent="0.35">
      <c r="A10" s="17" t="s">
        <v>81</v>
      </c>
      <c r="B10" s="19">
        <f>MAX('Implementation Roadmap'!E5:E19)</f>
        <v>0</v>
      </c>
    </row>
    <row r="11" spans="1:4" x14ac:dyDescent="0.35">
      <c r="A11" s="20" t="s">
        <v>82</v>
      </c>
      <c r="B11" s="15">
        <f>B10-B9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 Roadmap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0</cp:revision>
  <dcterms:created xsi:type="dcterms:W3CDTF">2026-06-30T20:16:54Z</dcterms:created>
  <dcterms:modified xsi:type="dcterms:W3CDTF">2026-06-30T20:25:36Z</dcterms:modified>
  <dc:language>en-US</dc:language>
</cp:coreProperties>
</file>